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Debts" sheetId="2" state="visible" r:id="rId2"/>
    <sheet name="Income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MM/DD/YYYY"/>
    <numFmt numFmtId="167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1"/>
    </font>
    <font>
      <name val="Arial"/>
      <color rgb="0099999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8000"/>
      <sz val="10"/>
    </font>
    <font>
      <name val="Arial"/>
      <color rgb="00CC0000"/>
      <sz val="10"/>
    </font>
    <font>
      <name val="Arial"/>
      <b val="1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2" borderId="0" applyAlignment="1" pivotButton="0" quotePrefix="0" xfId="0">
      <alignment horizontal="center"/>
    </xf>
    <xf numFmtId="166" fontId="7" fillId="0" borderId="1" pivotButton="0" quotePrefix="0" xfId="0"/>
    <xf numFmtId="0" fontId="7" fillId="0" borderId="1" pivotButton="0" quotePrefix="0" xfId="0"/>
    <xf numFmtId="164" fontId="8" fillId="0" borderId="1" pivotButton="0" quotePrefix="0" xfId="0"/>
    <xf numFmtId="164" fontId="7" fillId="0" borderId="1" pivotButton="0" quotePrefix="0" xfId="0"/>
    <xf numFmtId="164" fontId="9" fillId="0" borderId="1" pivotButton="0" quotePrefix="0" xfId="0"/>
    <xf numFmtId="164" fontId="5" fillId="0" borderId="1" pivotButton="0" quotePrefix="0" xfId="0"/>
    <xf numFmtId="2" fontId="5" fillId="0" borderId="1" pivotButton="0" quotePrefix="0" xfId="0"/>
    <xf numFmtId="167" fontId="5" fillId="0" borderId="1" pivotButton="0" quotePrefix="0" xfId="0"/>
    <xf numFmtId="164" fontId="4" fillId="0" borderId="0" pivotButton="0" quotePrefix="0" xfId="0"/>
    <xf numFmtId="167" fontId="4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167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FIRST NATIONAL BANK</t>
        </is>
      </c>
    </row>
    <row r="2">
      <c r="A2" s="2" t="inlineStr">
        <is>
          <t>Monthly Statement - March 2026</t>
        </is>
      </c>
    </row>
    <row r="3">
      <c r="A3" s="3" t="inlineStr">
        <is>
          <t>Account: ****4821  |  Checking  |  03/01/2026 - 03/31/2026</t>
        </is>
      </c>
    </row>
    <row r="5">
      <c r="A5" s="4" t="inlineStr">
        <is>
          <t>Beginning Balance</t>
        </is>
      </c>
      <c r="B5" s="5" t="n">
        <v>1247.33</v>
      </c>
    </row>
    <row r="6">
      <c r="A6" s="4" t="inlineStr">
        <is>
          <t>Total Deposits</t>
        </is>
      </c>
      <c r="B6" s="5">
        <f>SUMIF(D11:D70,"&gt;0",D11:D70)</f>
        <v/>
      </c>
    </row>
    <row r="7">
      <c r="A7" s="4" t="inlineStr">
        <is>
          <t>Total Withdrawals</t>
        </is>
      </c>
      <c r="B7" s="5">
        <f>SUMIF(D11:D70,"&lt;0",D11:D70)</f>
        <v/>
      </c>
    </row>
    <row r="8">
      <c r="A8" s="4" t="inlineStr">
        <is>
          <t>Ending Balance</t>
        </is>
      </c>
      <c r="B8" s="5">
        <f>B5+B6+B7</f>
        <v/>
      </c>
    </row>
    <row r="10">
      <c r="A10" s="6" t="inlineStr">
        <is>
          <t>Date</t>
        </is>
      </c>
      <c r="B10" s="6" t="inlineStr">
        <is>
          <t>Description</t>
        </is>
      </c>
      <c r="C10" s="6" t="inlineStr">
        <is>
          <t>Category</t>
        </is>
      </c>
      <c r="D10" s="6" t="inlineStr">
        <is>
          <t>Amount</t>
        </is>
      </c>
      <c r="E10" s="6" t="inlineStr">
        <is>
          <t>Balance</t>
        </is>
      </c>
    </row>
    <row r="11">
      <c r="A11" s="7" t="n">
        <v>46082</v>
      </c>
      <c r="B11" s="8" t="inlineStr">
        <is>
          <t>DIRECT DEPOSIT - ACME CORP PAYROLL</t>
        </is>
      </c>
      <c r="C11" s="8" t="inlineStr">
        <is>
          <t>Income</t>
        </is>
      </c>
      <c r="D11" s="9" t="n">
        <v>2500</v>
      </c>
      <c r="E11" s="10">
        <f>B5+D11</f>
        <v/>
      </c>
    </row>
    <row r="12">
      <c r="A12" s="7" t="n">
        <v>46082</v>
      </c>
      <c r="B12" s="8" t="inlineStr">
        <is>
          <t>ZELLE TRANSFER TO ROOMMATE - RENT</t>
        </is>
      </c>
      <c r="C12" s="8" t="inlineStr">
        <is>
          <t>Rent</t>
        </is>
      </c>
      <c r="D12" s="11" t="n">
        <v>-1400</v>
      </c>
      <c r="E12" s="10">
        <f>E11+D12</f>
        <v/>
      </c>
    </row>
    <row r="13">
      <c r="A13" s="7" t="n">
        <v>46083</v>
      </c>
      <c r="B13" s="8" t="inlineStr">
        <is>
          <t>GEICO AUTO INSURANCE</t>
        </is>
      </c>
      <c r="C13" s="8" t="inlineStr">
        <is>
          <t>Insurance</t>
        </is>
      </c>
      <c r="D13" s="11" t="n">
        <v>-185</v>
      </c>
      <c r="E13" s="10">
        <f>E12+D13</f>
        <v/>
      </c>
    </row>
    <row r="14">
      <c r="A14" s="7" t="n">
        <v>46083</v>
      </c>
      <c r="B14" s="8" t="inlineStr">
        <is>
          <t>PLANET FITNESS MONTHLY</t>
        </is>
      </c>
      <c r="C14" s="8" t="inlineStr">
        <is>
          <t>Subscriptions</t>
        </is>
      </c>
      <c r="D14" s="11" t="n">
        <v>-49.99</v>
      </c>
      <c r="E14" s="10">
        <f>E13+D14</f>
        <v/>
      </c>
    </row>
    <row r="15">
      <c r="A15" s="7" t="n">
        <v>46084</v>
      </c>
      <c r="B15" s="8" t="inlineStr">
        <is>
          <t>DOORDASH ORDER #8847291</t>
        </is>
      </c>
      <c r="C15" s="8" t="inlineStr">
        <is>
          <t>Food Delivery</t>
        </is>
      </c>
      <c r="D15" s="11" t="n">
        <v>-34.5</v>
      </c>
      <c r="E15" s="10">
        <f>E14+D15</f>
        <v/>
      </c>
    </row>
    <row r="16">
      <c r="A16" s="7" t="n">
        <v>46084</v>
      </c>
      <c r="B16" s="8" t="inlineStr">
        <is>
          <t>AMAZON.COM - AIRPODS MAX</t>
        </is>
      </c>
      <c r="C16" s="8" t="inlineStr">
        <is>
          <t>Shopping</t>
        </is>
      </c>
      <c r="D16" s="11" t="n">
        <v>-549.99</v>
      </c>
      <c r="E16" s="10">
        <f>E15+D16</f>
        <v/>
      </c>
    </row>
    <row r="17">
      <c r="A17" s="7" t="n">
        <v>46085</v>
      </c>
      <c r="B17" s="8" t="inlineStr">
        <is>
          <t>SHELL GAS STATION #4412</t>
        </is>
      </c>
      <c r="C17" s="8" t="inlineStr">
        <is>
          <t>Gas</t>
        </is>
      </c>
      <c r="D17" s="11" t="n">
        <v>-52.3</v>
      </c>
      <c r="E17" s="10">
        <f>E16+D17</f>
        <v/>
      </c>
    </row>
    <row r="18">
      <c r="A18" s="7" t="n">
        <v>46085</v>
      </c>
      <c r="B18" s="8" t="inlineStr">
        <is>
          <t>CHIPOTLE MEXICAN GRILL</t>
        </is>
      </c>
      <c r="C18" s="8" t="inlineStr">
        <is>
          <t>Dining Out</t>
        </is>
      </c>
      <c r="D18" s="11" t="n">
        <v>-16.42</v>
      </c>
      <c r="E18" s="10">
        <f>E17+D18</f>
        <v/>
      </c>
    </row>
    <row r="19">
      <c r="A19" s="7" t="n">
        <v>46086</v>
      </c>
      <c r="B19" s="8" t="inlineStr">
        <is>
          <t>WALMART SUPERCENTER #2847</t>
        </is>
      </c>
      <c r="C19" s="8" t="inlineStr">
        <is>
          <t>Groceries</t>
        </is>
      </c>
      <c r="D19" s="11" t="n">
        <v>-127.84</v>
      </c>
      <c r="E19" s="10">
        <f>E18+D19</f>
        <v/>
      </c>
    </row>
    <row r="20">
      <c r="A20" s="7" t="n">
        <v>46086</v>
      </c>
      <c r="B20" s="8" t="inlineStr">
        <is>
          <t>SPOTIFY PREMIUM</t>
        </is>
      </c>
      <c r="C20" s="8" t="inlineStr">
        <is>
          <t>Subscriptions</t>
        </is>
      </c>
      <c r="D20" s="11" t="n">
        <v>-11.99</v>
      </c>
      <c r="E20" s="10">
        <f>E19+D20</f>
        <v/>
      </c>
    </row>
    <row r="21">
      <c r="A21" s="7" t="n">
        <v>46087</v>
      </c>
      <c r="B21" s="8" t="inlineStr">
        <is>
          <t>UBER EATS - SUSHI KING</t>
        </is>
      </c>
      <c r="C21" s="8" t="inlineStr">
        <is>
          <t>Food Delivery</t>
        </is>
      </c>
      <c r="D21" s="11" t="n">
        <v>-47.2</v>
      </c>
      <c r="E21" s="10">
        <f>E20+D21</f>
        <v/>
      </c>
    </row>
    <row r="22">
      <c r="A22" s="7" t="n">
        <v>46087</v>
      </c>
      <c r="B22" s="8" t="inlineStr">
        <is>
          <t>CHASE SAPPHIRE VISA - MIN PAYMENT</t>
        </is>
      </c>
      <c r="C22" s="8" t="inlineStr">
        <is>
          <t>Debt Payment</t>
        </is>
      </c>
      <c r="D22" s="11" t="n">
        <v>-212</v>
      </c>
      <c r="E22" s="10">
        <f>E21+D22</f>
        <v/>
      </c>
    </row>
    <row r="23">
      <c r="A23" s="7" t="n">
        <v>46088</v>
      </c>
      <c r="B23" s="8" t="inlineStr">
        <is>
          <t>BEST BUY - PS5 GAME</t>
        </is>
      </c>
      <c r="C23" s="8" t="inlineStr">
        <is>
          <t>Shopping</t>
        </is>
      </c>
      <c r="D23" s="11" t="n">
        <v>-69.98999999999999</v>
      </c>
      <c r="E23" s="10">
        <f>E22+D23</f>
        <v/>
      </c>
    </row>
    <row r="24">
      <c r="A24" s="7" t="n">
        <v>46088</v>
      </c>
      <c r="B24" s="8" t="inlineStr">
        <is>
          <t>MCDONALD'S #14423</t>
        </is>
      </c>
      <c r="C24" s="8" t="inlineStr">
        <is>
          <t>Dining Out</t>
        </is>
      </c>
      <c r="D24" s="11" t="n">
        <v>-12.87</v>
      </c>
      <c r="E24" s="10">
        <f>E23+D24</f>
        <v/>
      </c>
    </row>
    <row r="25">
      <c r="A25" s="7" t="n">
        <v>46089</v>
      </c>
      <c r="B25" s="8" t="inlineStr">
        <is>
          <t>THE BEER GARDEN BAR TAB</t>
        </is>
      </c>
      <c r="C25" s="8" t="inlineStr">
        <is>
          <t>Bars/Nightlife</t>
        </is>
      </c>
      <c r="D25" s="11" t="n">
        <v>-78.5</v>
      </c>
      <c r="E25" s="10">
        <f>E24+D25</f>
        <v/>
      </c>
    </row>
    <row r="26">
      <c r="A26" s="7" t="n">
        <v>46089</v>
      </c>
      <c r="B26" s="8" t="inlineStr">
        <is>
          <t>UBER RIDE</t>
        </is>
      </c>
      <c r="C26" s="8" t="inlineStr">
        <is>
          <t>Transportation</t>
        </is>
      </c>
      <c r="D26" s="11" t="n">
        <v>-24.3</v>
      </c>
      <c r="E26" s="10">
        <f>E25+D26</f>
        <v/>
      </c>
    </row>
    <row r="27">
      <c r="A27" s="7" t="n">
        <v>46090</v>
      </c>
      <c r="B27" s="8" t="inlineStr">
        <is>
          <t>CAPITAL ONE QUICKSILVER - MIN PMT</t>
        </is>
      </c>
      <c r="C27" s="8" t="inlineStr">
        <is>
          <t>Debt Payment</t>
        </is>
      </c>
      <c r="D27" s="11" t="n">
        <v>-96</v>
      </c>
      <c r="E27" s="10">
        <f>E26+D27</f>
        <v/>
      </c>
    </row>
    <row r="28">
      <c r="A28" s="7" t="n">
        <v>46090</v>
      </c>
      <c r="B28" s="8" t="inlineStr">
        <is>
          <t>NETFLIX PREMIUM</t>
        </is>
      </c>
      <c r="C28" s="8" t="inlineStr">
        <is>
          <t>Subscriptions</t>
        </is>
      </c>
      <c r="D28" s="11" t="n">
        <v>-22.99</v>
      </c>
      <c r="E28" s="10">
        <f>E27+D28</f>
        <v/>
      </c>
    </row>
    <row r="29">
      <c r="A29" s="7" t="n">
        <v>46091</v>
      </c>
      <c r="B29" s="8" t="inlineStr">
        <is>
          <t>TARGET - CLOTHING</t>
        </is>
      </c>
      <c r="C29" s="8" t="inlineStr">
        <is>
          <t>Clothing</t>
        </is>
      </c>
      <c r="D29" s="11" t="n">
        <v>-134.56</v>
      </c>
      <c r="E29" s="10">
        <f>E28+D29</f>
        <v/>
      </c>
    </row>
    <row r="30">
      <c r="A30" s="7" t="n">
        <v>46091</v>
      </c>
      <c r="B30" s="8" t="inlineStr">
        <is>
          <t>DOORDASH ORDER #8901234</t>
        </is>
      </c>
      <c r="C30" s="8" t="inlineStr">
        <is>
          <t>Food Delivery</t>
        </is>
      </c>
      <c r="D30" s="11" t="n">
        <v>-29.75</v>
      </c>
      <c r="E30" s="10">
        <f>E29+D30</f>
        <v/>
      </c>
    </row>
    <row r="31">
      <c r="A31" s="7" t="n">
        <v>46092</v>
      </c>
      <c r="B31" s="8" t="inlineStr">
        <is>
          <t>VERIZON WIRELESS</t>
        </is>
      </c>
      <c r="C31" s="8" t="inlineStr">
        <is>
          <t>Phone</t>
        </is>
      </c>
      <c r="D31" s="11" t="n">
        <v>-95</v>
      </c>
      <c r="E31" s="10">
        <f>E30+D31</f>
        <v/>
      </c>
    </row>
    <row r="32">
      <c r="A32" s="7" t="n">
        <v>46092</v>
      </c>
      <c r="B32" s="8" t="inlineStr">
        <is>
          <t>COMCAST XFINITY INTERNET</t>
        </is>
      </c>
      <c r="C32" s="8" t="inlineStr">
        <is>
          <t>Internet</t>
        </is>
      </c>
      <c r="D32" s="11" t="n">
        <v>-75</v>
      </c>
      <c r="E32" s="10">
        <f>E31+D32</f>
        <v/>
      </c>
    </row>
    <row r="33">
      <c r="A33" s="7" t="n">
        <v>46093</v>
      </c>
      <c r="B33" s="8" t="inlineStr">
        <is>
          <t>GRUBHUB - PIZZA HUT</t>
        </is>
      </c>
      <c r="C33" s="8" t="inlineStr">
        <is>
          <t>Food Delivery</t>
        </is>
      </c>
      <c r="D33" s="11" t="n">
        <v>-38.9</v>
      </c>
      <c r="E33" s="10">
        <f>E32+D33</f>
        <v/>
      </c>
    </row>
    <row r="34">
      <c r="A34" s="7" t="n">
        <v>46093</v>
      </c>
      <c r="B34" s="8" t="inlineStr">
        <is>
          <t>BEST BUY STORE CARD - MIN PAYMENT</t>
        </is>
      </c>
      <c r="C34" s="8" t="inlineStr">
        <is>
          <t>Debt Payment</t>
        </is>
      </c>
      <c r="D34" s="11" t="n">
        <v>-56</v>
      </c>
      <c r="E34" s="10">
        <f>E33+D34</f>
        <v/>
      </c>
    </row>
    <row r="35">
      <c r="A35" s="7" t="n">
        <v>46094</v>
      </c>
      <c r="B35" s="8" t="inlineStr">
        <is>
          <t>EXXON GAS STATION</t>
        </is>
      </c>
      <c r="C35" s="8" t="inlineStr">
        <is>
          <t>Gas</t>
        </is>
      </c>
      <c r="D35" s="11" t="n">
        <v>-48.7</v>
      </c>
      <c r="E35" s="10">
        <f>E34+D35</f>
        <v/>
      </c>
    </row>
    <row r="36">
      <c r="A36" s="7" t="n">
        <v>46094</v>
      </c>
      <c r="B36" s="8" t="inlineStr">
        <is>
          <t>AMAZON.COM - GAMING KEYBOARD</t>
        </is>
      </c>
      <c r="C36" s="8" t="inlineStr">
        <is>
          <t>Shopping</t>
        </is>
      </c>
      <c r="D36" s="11" t="n">
        <v>-159.99</v>
      </c>
      <c r="E36" s="10">
        <f>E35+D36</f>
        <v/>
      </c>
    </row>
    <row r="37">
      <c r="A37" s="7" t="n">
        <v>46095</v>
      </c>
      <c r="B37" s="8" t="inlineStr">
        <is>
          <t>OLIVE GARDEN</t>
        </is>
      </c>
      <c r="C37" s="8" t="inlineStr">
        <is>
          <t>Dining Out</t>
        </is>
      </c>
      <c r="D37" s="11" t="n">
        <v>-67.34</v>
      </c>
      <c r="E37" s="10">
        <f>E36+D37</f>
        <v/>
      </c>
    </row>
    <row r="38">
      <c r="A38" s="7" t="n">
        <v>46095</v>
      </c>
      <c r="B38" s="8" t="inlineStr">
        <is>
          <t>AMC THEATRES - 2 TICKETS</t>
        </is>
      </c>
      <c r="C38" s="8" t="inlineStr">
        <is>
          <t>Entertainment</t>
        </is>
      </c>
      <c r="D38" s="11" t="n">
        <v>-34</v>
      </c>
      <c r="E38" s="10">
        <f>E37+D38</f>
        <v/>
      </c>
    </row>
    <row r="39">
      <c r="A39" s="7" t="n">
        <v>46096</v>
      </c>
      <c r="B39" s="8" t="inlineStr">
        <is>
          <t>DIRECT DEPOSIT - ACME CORP PAYROLL</t>
        </is>
      </c>
      <c r="C39" s="8" t="inlineStr">
        <is>
          <t>Income</t>
        </is>
      </c>
      <c r="D39" s="9" t="n">
        <v>2500</v>
      </c>
      <c r="E39" s="10">
        <f>E38+D39</f>
        <v/>
      </c>
    </row>
    <row r="40">
      <c r="A40" s="7" t="n">
        <v>46096</v>
      </c>
      <c r="B40" s="8" t="inlineStr">
        <is>
          <t>SALLIE MAE STUDENT LOAN PMT</t>
        </is>
      </c>
      <c r="C40" s="8" t="inlineStr">
        <is>
          <t>Debt Payment</t>
        </is>
      </c>
      <c r="D40" s="11" t="n">
        <v>-325</v>
      </c>
      <c r="E40" s="10">
        <f>E39+D40</f>
        <v/>
      </c>
    </row>
    <row r="41">
      <c r="A41" s="7" t="n">
        <v>46096</v>
      </c>
      <c r="B41" s="8" t="inlineStr">
        <is>
          <t>TOYOTA FINANCIAL AUTO LOAN</t>
        </is>
      </c>
      <c r="C41" s="8" t="inlineStr">
        <is>
          <t>Debt Payment</t>
        </is>
      </c>
      <c r="D41" s="11" t="n">
        <v>-385</v>
      </c>
      <c r="E41" s="10">
        <f>E40+D41</f>
        <v/>
      </c>
    </row>
    <row r="42">
      <c r="A42" s="7" t="n">
        <v>46097</v>
      </c>
      <c r="B42" s="8" t="inlineStr">
        <is>
          <t>MARCUS PERSONAL LOAN PMT</t>
        </is>
      </c>
      <c r="C42" s="8" t="inlineStr">
        <is>
          <t>Debt Payment</t>
        </is>
      </c>
      <c r="D42" s="11" t="n">
        <v>-150</v>
      </c>
      <c r="E42" s="10">
        <f>E41+D42</f>
        <v/>
      </c>
    </row>
    <row r="43">
      <c r="A43" s="7" t="n">
        <v>46097</v>
      </c>
      <c r="B43" s="8" t="inlineStr">
        <is>
          <t>UBER EATS - THAI BASIL</t>
        </is>
      </c>
      <c r="C43" s="8" t="inlineStr">
        <is>
          <t>Food Delivery</t>
        </is>
      </c>
      <c r="D43" s="11" t="n">
        <v>-42.15</v>
      </c>
      <c r="E43" s="10">
        <f>E42+D43</f>
        <v/>
      </c>
    </row>
    <row r="44">
      <c r="A44" s="7" t="n">
        <v>46098</v>
      </c>
      <c r="B44" s="8" t="inlineStr">
        <is>
          <t>FOOT LOCKER - NIKE AIR MAX</t>
        </is>
      </c>
      <c r="C44" s="8" t="inlineStr">
        <is>
          <t>Clothing</t>
        </is>
      </c>
      <c r="D44" s="11" t="n">
        <v>-189.99</v>
      </c>
      <c r="E44" s="10">
        <f>E43+D44</f>
        <v/>
      </c>
    </row>
    <row r="45">
      <c r="A45" s="7" t="n">
        <v>46098</v>
      </c>
      <c r="B45" s="8" t="inlineStr">
        <is>
          <t>STARBUCKS</t>
        </is>
      </c>
      <c r="C45" s="8" t="inlineStr">
        <is>
          <t>Dining Out</t>
        </is>
      </c>
      <c r="D45" s="11" t="n">
        <v>-7.45</v>
      </c>
      <c r="E45" s="10">
        <f>E44+D45</f>
        <v/>
      </c>
    </row>
    <row r="46">
      <c r="A46" s="7" t="n">
        <v>46099</v>
      </c>
      <c r="B46" s="8" t="inlineStr">
        <is>
          <t>WALMART SUPERCENTER #2847</t>
        </is>
      </c>
      <c r="C46" s="8" t="inlineStr">
        <is>
          <t>Groceries</t>
        </is>
      </c>
      <c r="D46" s="11" t="n">
        <v>-98.42</v>
      </c>
      <c r="E46" s="10">
        <f>E45+D46</f>
        <v/>
      </c>
    </row>
    <row r="47">
      <c r="A47" s="7" t="n">
        <v>46099</v>
      </c>
      <c r="B47" s="8" t="inlineStr">
        <is>
          <t>HULU + LIVE TV</t>
        </is>
      </c>
      <c r="C47" s="8" t="inlineStr">
        <is>
          <t>Subscriptions</t>
        </is>
      </c>
      <c r="D47" s="11" t="n">
        <v>-17.99</v>
      </c>
      <c r="E47" s="10">
        <f>E46+D47</f>
        <v/>
      </c>
    </row>
    <row r="48">
      <c r="A48" s="7" t="n">
        <v>46100</v>
      </c>
      <c r="B48" s="8" t="inlineStr">
        <is>
          <t>APPLEBEES GRILL</t>
        </is>
      </c>
      <c r="C48" s="8" t="inlineStr">
        <is>
          <t>Dining Out</t>
        </is>
      </c>
      <c r="D48" s="11" t="n">
        <v>-43.21</v>
      </c>
      <c r="E48" s="10">
        <f>E47+D48</f>
        <v/>
      </c>
    </row>
    <row r="49">
      <c r="A49" s="7" t="n">
        <v>46100</v>
      </c>
      <c r="B49" s="8" t="inlineStr">
        <is>
          <t>DOORDASH ORDER #9012345</t>
        </is>
      </c>
      <c r="C49" s="8" t="inlineStr">
        <is>
          <t>Food Delivery</t>
        </is>
      </c>
      <c r="D49" s="11" t="n">
        <v>-31.4</v>
      </c>
      <c r="E49" s="10">
        <f>E48+D49</f>
        <v/>
      </c>
    </row>
    <row r="50">
      <c r="A50" s="7" t="n">
        <v>46101</v>
      </c>
      <c r="B50" s="8" t="inlineStr">
        <is>
          <t>SHELL GAS STATION #4412</t>
        </is>
      </c>
      <c r="C50" s="8" t="inlineStr">
        <is>
          <t>Gas</t>
        </is>
      </c>
      <c r="D50" s="11" t="n">
        <v>-55.2</v>
      </c>
      <c r="E50" s="10">
        <f>E49+D50</f>
        <v/>
      </c>
    </row>
    <row r="51">
      <c r="A51" s="7" t="n">
        <v>46101</v>
      </c>
      <c r="B51" s="8" t="inlineStr">
        <is>
          <t>AMAZON.COM - RANDOM IMPULSE BUY</t>
        </is>
      </c>
      <c r="C51" s="8" t="inlineStr">
        <is>
          <t>Shopping</t>
        </is>
      </c>
      <c r="D51" s="11" t="n">
        <v>-89.98999999999999</v>
      </c>
      <c r="E51" s="10">
        <f>E50+D51</f>
        <v/>
      </c>
    </row>
    <row r="52">
      <c r="A52" s="7" t="n">
        <v>46102</v>
      </c>
      <c r="B52" s="8" t="inlineStr">
        <is>
          <t>ROOFTOP LOUNGE - BAR TAB</t>
        </is>
      </c>
      <c r="C52" s="8" t="inlineStr">
        <is>
          <t>Bars/Nightlife</t>
        </is>
      </c>
      <c r="D52" s="11" t="n">
        <v>-112</v>
      </c>
      <c r="E52" s="10">
        <f>E51+D52</f>
        <v/>
      </c>
    </row>
    <row r="53">
      <c r="A53" s="7" t="n">
        <v>46102</v>
      </c>
      <c r="B53" s="8" t="inlineStr">
        <is>
          <t>LYFT RIDE HOME</t>
        </is>
      </c>
      <c r="C53" s="8" t="inlineStr">
        <is>
          <t>Transportation</t>
        </is>
      </c>
      <c r="D53" s="11" t="n">
        <v>-31.5</v>
      </c>
      <c r="E53" s="10">
        <f>E52+D53</f>
        <v/>
      </c>
    </row>
    <row r="54">
      <c r="A54" s="7" t="n">
        <v>46103</v>
      </c>
      <c r="B54" s="8" t="inlineStr">
        <is>
          <t>CHICK-FIL-A</t>
        </is>
      </c>
      <c r="C54" s="8" t="inlineStr">
        <is>
          <t>Dining Out</t>
        </is>
      </c>
      <c r="D54" s="11" t="n">
        <v>-14.23</v>
      </c>
      <c r="E54" s="10">
        <f>E53+D54</f>
        <v/>
      </c>
    </row>
    <row r="55">
      <c r="A55" s="7" t="n">
        <v>46103</v>
      </c>
      <c r="B55" s="8" t="inlineStr">
        <is>
          <t>CRUNCHYROLL ANNUAL</t>
        </is>
      </c>
      <c r="C55" s="8" t="inlineStr">
        <is>
          <t>Subscriptions</t>
        </is>
      </c>
      <c r="D55" s="11" t="n">
        <v>-7.99</v>
      </c>
      <c r="E55" s="10">
        <f>E54+D55</f>
        <v/>
      </c>
    </row>
    <row r="56">
      <c r="A56" s="7" t="n">
        <v>46104</v>
      </c>
      <c r="B56" s="8" t="inlineStr">
        <is>
          <t>COSTCO WHOLESALE</t>
        </is>
      </c>
      <c r="C56" s="8" t="inlineStr">
        <is>
          <t>Groceries</t>
        </is>
      </c>
      <c r="D56" s="11" t="n">
        <v>-187.33</v>
      </c>
      <c r="E56" s="10">
        <f>E55+D56</f>
        <v/>
      </c>
    </row>
    <row r="57">
      <c r="A57" s="7" t="n">
        <v>46105</v>
      </c>
      <c r="B57" s="8" t="inlineStr">
        <is>
          <t>UBER EATS - WING STOP</t>
        </is>
      </c>
      <c r="C57" s="8" t="inlineStr">
        <is>
          <t>Food Delivery</t>
        </is>
      </c>
      <c r="D57" s="11" t="n">
        <v>-28.6</v>
      </c>
      <c r="E57" s="10">
        <f>E56+D57</f>
        <v/>
      </c>
    </row>
    <row r="58">
      <c r="A58" s="7" t="n">
        <v>46105</v>
      </c>
      <c r="B58" s="8" t="inlineStr">
        <is>
          <t>TOPGOLF ENTERTAINMENT</t>
        </is>
      </c>
      <c r="C58" s="8" t="inlineStr">
        <is>
          <t>Entertainment</t>
        </is>
      </c>
      <c r="D58" s="11" t="n">
        <v>-65</v>
      </c>
      <c r="E58" s="10">
        <f>E57+D58</f>
        <v/>
      </c>
    </row>
    <row r="59">
      <c r="A59" s="7" t="n">
        <v>46106</v>
      </c>
      <c r="B59" s="8" t="inlineStr">
        <is>
          <t>ZARA - SPRING CLOTHES</t>
        </is>
      </c>
      <c r="C59" s="8" t="inlineStr">
        <is>
          <t>Clothing</t>
        </is>
      </c>
      <c r="D59" s="11" t="n">
        <v>-210.45</v>
      </c>
      <c r="E59" s="10">
        <f>E58+D59</f>
        <v/>
      </c>
    </row>
    <row r="60">
      <c r="A60" s="7" t="n">
        <v>46107</v>
      </c>
      <c r="B60" s="8" t="inlineStr">
        <is>
          <t>PANERA BREAD</t>
        </is>
      </c>
      <c r="C60" s="8" t="inlineStr">
        <is>
          <t>Dining Out</t>
        </is>
      </c>
      <c r="D60" s="11" t="n">
        <v>-18.9</v>
      </c>
      <c r="E60" s="10">
        <f>E59+D60</f>
        <v/>
      </c>
    </row>
    <row r="61">
      <c r="A61" s="7" t="n">
        <v>46107</v>
      </c>
      <c r="B61" s="8" t="inlineStr">
        <is>
          <t>AMAZON.COM - ECHO DOT</t>
        </is>
      </c>
      <c r="C61" s="8" t="inlineStr">
        <is>
          <t>Shopping</t>
        </is>
      </c>
      <c r="D61" s="11" t="n">
        <v>-49.99</v>
      </c>
      <c r="E61" s="10">
        <f>E60+D61</f>
        <v/>
      </c>
    </row>
    <row r="62">
      <c r="A62" s="7" t="n">
        <v>46108</v>
      </c>
      <c r="B62" s="8" t="inlineStr">
        <is>
          <t>SHELL GAS STATION #4412</t>
        </is>
      </c>
      <c r="C62" s="8" t="inlineStr">
        <is>
          <t>Gas</t>
        </is>
      </c>
      <c r="D62" s="11" t="n">
        <v>-47.8</v>
      </c>
      <c r="E62" s="10">
        <f>E61+D62</f>
        <v/>
      </c>
    </row>
    <row r="63">
      <c r="A63" s="7" t="n">
        <v>46108</v>
      </c>
      <c r="B63" s="8" t="inlineStr">
        <is>
          <t>DAVE AND BUSTERS</t>
        </is>
      </c>
      <c r="C63" s="8" t="inlineStr">
        <is>
          <t>Entertainment</t>
        </is>
      </c>
      <c r="D63" s="11" t="n">
        <v>-52</v>
      </c>
      <c r="E63" s="10">
        <f>E62+D63</f>
        <v/>
      </c>
    </row>
    <row r="64">
      <c r="A64" s="7" t="n">
        <v>46109</v>
      </c>
      <c r="B64" s="8" t="inlineStr">
        <is>
          <t>DOORDASH ORDER #9123456</t>
        </is>
      </c>
      <c r="C64" s="8" t="inlineStr">
        <is>
          <t>Food Delivery</t>
        </is>
      </c>
      <c r="D64" s="11" t="n">
        <v>-36.85</v>
      </c>
      <c r="E64" s="10">
        <f>E63+D64</f>
        <v/>
      </c>
    </row>
    <row r="65">
      <c r="A65" s="7" t="n">
        <v>46109</v>
      </c>
      <c r="B65" s="8" t="inlineStr">
        <is>
          <t>BUFFALO WILD WINGS</t>
        </is>
      </c>
      <c r="C65" s="8" t="inlineStr">
        <is>
          <t>Dining Out</t>
        </is>
      </c>
      <c r="D65" s="11" t="n">
        <v>-38.7</v>
      </c>
      <c r="E65" s="10">
        <f>E64+D65</f>
        <v/>
      </c>
    </row>
    <row r="66">
      <c r="A66" s="7" t="n">
        <v>46110</v>
      </c>
      <c r="B66" s="8" t="inlineStr">
        <is>
          <t>THE WHISKEY BAR</t>
        </is>
      </c>
      <c r="C66" s="8" t="inlineStr">
        <is>
          <t>Bars/Nightlife</t>
        </is>
      </c>
      <c r="D66" s="11" t="n">
        <v>-94</v>
      </c>
      <c r="E66" s="10">
        <f>E65+D66</f>
        <v/>
      </c>
    </row>
    <row r="67">
      <c r="A67" s="7" t="n">
        <v>46110</v>
      </c>
      <c r="B67" s="8" t="inlineStr">
        <is>
          <t>UBER RIDE</t>
        </is>
      </c>
      <c r="C67" s="8" t="inlineStr">
        <is>
          <t>Transportation</t>
        </is>
      </c>
      <c r="D67" s="11" t="n">
        <v>-19.8</v>
      </c>
      <c r="E67" s="10">
        <f>E66+D67</f>
        <v/>
      </c>
    </row>
    <row r="68">
      <c r="A68" s="7" t="n">
        <v>46111</v>
      </c>
      <c r="B68" s="8" t="inlineStr">
        <is>
          <t>WALMART SUPERCENTER #2847</t>
        </is>
      </c>
      <c r="C68" s="8" t="inlineStr">
        <is>
          <t>Groceries</t>
        </is>
      </c>
      <c r="D68" s="11" t="n">
        <v>-76.45</v>
      </c>
      <c r="E68" s="10">
        <f>E67+D68</f>
        <v/>
      </c>
    </row>
    <row r="69">
      <c r="A69" s="7" t="n">
        <v>46112</v>
      </c>
      <c r="B69" s="8" t="inlineStr">
        <is>
          <t>AMAZON.COM - BLUETOOTH SPEAKER</t>
        </is>
      </c>
      <c r="C69" s="8" t="inlineStr">
        <is>
          <t>Shopping</t>
        </is>
      </c>
      <c r="D69" s="11" t="n">
        <v>-79.98999999999999</v>
      </c>
      <c r="E69" s="10">
        <f>E68+D69</f>
        <v/>
      </c>
    </row>
    <row r="70">
      <c r="A70" s="7" t="n">
        <v>46112</v>
      </c>
      <c r="B70" s="8" t="inlineStr">
        <is>
          <t>WINGSTOP DELIVERY</t>
        </is>
      </c>
      <c r="C70" s="8" t="inlineStr">
        <is>
          <t>Food Delivery</t>
        </is>
      </c>
      <c r="D70" s="11" t="n">
        <v>-24.5</v>
      </c>
      <c r="E70" s="10">
        <f>E69+D70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</cols>
  <sheetData>
    <row r="1">
      <c r="A1" s="6" t="inlineStr">
        <is>
          <t>Name</t>
        </is>
      </c>
      <c r="B1" s="6" t="inlineStr">
        <is>
          <t>Balance</t>
        </is>
      </c>
      <c r="C1" s="6" t="inlineStr">
        <is>
          <t>APR (%)</t>
        </is>
      </c>
      <c r="D1" s="6" t="inlineStr">
        <is>
          <t>Min Payment</t>
        </is>
      </c>
    </row>
    <row r="2">
      <c r="A2" s="8" t="inlineStr">
        <is>
          <t>Chase Sapphire Visa</t>
        </is>
      </c>
      <c r="B2" s="12" t="n">
        <v>8450</v>
      </c>
      <c r="C2" s="13" t="n">
        <v>24.99</v>
      </c>
      <c r="D2" s="14" t="n">
        <v>212</v>
      </c>
    </row>
    <row r="3">
      <c r="A3" s="8" t="inlineStr">
        <is>
          <t>Capital One Quicksilver</t>
        </is>
      </c>
      <c r="B3" s="12" t="n">
        <v>3200</v>
      </c>
      <c r="C3" s="13" t="n">
        <v>22.49</v>
      </c>
      <c r="D3" s="14" t="n">
        <v>96</v>
      </c>
    </row>
    <row r="4">
      <c r="A4" s="8" t="inlineStr">
        <is>
          <t>Best Buy Store Card</t>
        </is>
      </c>
      <c r="B4" s="12" t="n">
        <v>1875</v>
      </c>
      <c r="C4" s="13" t="n">
        <v>27.99</v>
      </c>
      <c r="D4" s="14" t="n">
        <v>56</v>
      </c>
    </row>
    <row r="5">
      <c r="A5" s="8" t="inlineStr">
        <is>
          <t>Sallie Mae Student Loan</t>
        </is>
      </c>
      <c r="B5" s="12" t="n">
        <v>28500</v>
      </c>
      <c r="C5" s="13" t="n">
        <v>6.8</v>
      </c>
      <c r="D5" s="14" t="n">
        <v>325</v>
      </c>
    </row>
    <row r="6">
      <c r="A6" s="8" t="inlineStr">
        <is>
          <t>Toyota Auto Loan</t>
        </is>
      </c>
      <c r="B6" s="12" t="n">
        <v>14200</v>
      </c>
      <c r="C6" s="13" t="n">
        <v>4.9</v>
      </c>
      <c r="D6" s="14" t="n">
        <v>385</v>
      </c>
    </row>
    <row r="7">
      <c r="A7" s="8" t="inlineStr">
        <is>
          <t>Personal Loan - Marcus</t>
        </is>
      </c>
      <c r="B7" s="12" t="n">
        <v>5000</v>
      </c>
      <c r="C7" s="13" t="n">
        <v>11.99</v>
      </c>
      <c r="D7" s="14" t="n">
        <v>150</v>
      </c>
    </row>
    <row r="8">
      <c r="A8" s="4" t="inlineStr">
        <is>
          <t>TOTAL</t>
        </is>
      </c>
      <c r="B8" s="15">
        <f>SUM(B2:B7)</f>
        <v/>
      </c>
      <c r="D8" s="16">
        <f>SUM(D2:D7)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7" t="inlineStr">
        <is>
          <t>Source</t>
        </is>
      </c>
      <c r="B1" s="17" t="inlineStr">
        <is>
          <t>Monthly Amount</t>
        </is>
      </c>
    </row>
    <row r="2">
      <c r="A2" s="18" t="inlineStr">
        <is>
          <t>ACME Corp Salary</t>
        </is>
      </c>
      <c r="B2" s="5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7" t="inlineStr">
        <is>
          <t>Category</t>
        </is>
      </c>
      <c r="B1" s="17" t="inlineStr">
        <is>
          <t>Monthly Amount</t>
        </is>
      </c>
    </row>
    <row r="2">
      <c r="A2" s="8" t="inlineStr">
        <is>
          <t>Rent</t>
        </is>
      </c>
      <c r="B2" s="14" t="n">
        <v>1400</v>
      </c>
    </row>
    <row r="3">
      <c r="A3" s="8" t="inlineStr">
        <is>
          <t>Car Insurance</t>
        </is>
      </c>
      <c r="B3" s="14" t="n">
        <v>185</v>
      </c>
    </row>
    <row r="4">
      <c r="A4" s="8" t="inlineStr">
        <is>
          <t>Phone Bill</t>
        </is>
      </c>
      <c r="B4" s="14" t="n">
        <v>95</v>
      </c>
    </row>
    <row r="5">
      <c r="A5" s="8" t="inlineStr">
        <is>
          <t>Internet</t>
        </is>
      </c>
      <c r="B5" s="14" t="n">
        <v>75</v>
      </c>
    </row>
    <row r="6">
      <c r="A6" s="8" t="inlineStr">
        <is>
          <t>Spotify + Netflix + Hulu</t>
        </is>
      </c>
      <c r="B6" s="14" t="n">
        <v>45</v>
      </c>
    </row>
    <row r="7">
      <c r="A7" s="8" t="inlineStr">
        <is>
          <t>Gym Membership</t>
        </is>
      </c>
      <c r="B7" s="14" t="n">
        <v>50</v>
      </c>
    </row>
    <row r="8">
      <c r="A8" s="8" t="inlineStr">
        <is>
          <t>Gas</t>
        </is>
      </c>
      <c r="B8" s="14" t="n">
        <v>200</v>
      </c>
    </row>
    <row r="9">
      <c r="A9" s="8" t="inlineStr">
        <is>
          <t>Groceries</t>
        </is>
      </c>
      <c r="B9" s="14" t="n">
        <v>450</v>
      </c>
    </row>
    <row r="10">
      <c r="A10" s="8" t="inlineStr">
        <is>
          <t>Dining Out</t>
        </is>
      </c>
      <c r="B10" s="14" t="n">
        <v>380</v>
      </c>
    </row>
    <row r="11">
      <c r="A11" s="8" t="inlineStr">
        <is>
          <t>DoorDash/UberEats</t>
        </is>
      </c>
      <c r="B11" s="14" t="n">
        <v>275</v>
      </c>
    </row>
    <row r="12">
      <c r="A12" s="8" t="inlineStr">
        <is>
          <t>Amazon Shopping</t>
        </is>
      </c>
      <c r="B12" s="14" t="n">
        <v>320</v>
      </c>
    </row>
    <row r="13">
      <c r="A13" s="8" t="inlineStr">
        <is>
          <t>Subscriptions (misc)</t>
        </is>
      </c>
      <c r="B13" s="14" t="n">
        <v>65</v>
      </c>
    </row>
    <row r="14">
      <c r="A14" s="8" t="inlineStr">
        <is>
          <t>Entertainment</t>
        </is>
      </c>
      <c r="B14" s="14" t="n">
        <v>150</v>
      </c>
    </row>
    <row r="15">
      <c r="A15" s="8" t="inlineStr">
        <is>
          <t>Clothing</t>
        </is>
      </c>
      <c r="B15" s="14" t="n">
        <v>200</v>
      </c>
    </row>
    <row r="16">
      <c r="A16" s="8" t="inlineStr">
        <is>
          <t>Bars/Nightlife</t>
        </is>
      </c>
      <c r="B16" s="14" t="n">
        <v>180</v>
      </c>
    </row>
    <row r="17">
      <c r="A17" s="4" t="inlineStr">
        <is>
          <t>TOTAL MONTHLY EXPENSES</t>
        </is>
      </c>
      <c r="B17" s="19">
        <f>SUM(B2:B16)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2026-03-16T13:00:29Z</dcterms:created>
  <dcterms:modified xsi:type="dcterms:W3CDTF">2026-03-16T13:00:29Z</dcterms:modified>
</cp:coreProperties>
</file>